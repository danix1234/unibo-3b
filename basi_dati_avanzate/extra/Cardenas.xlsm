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liveunibo-my.sharepoint.com/personal/alessandra_lumini_unibo_it/Documents/documenti/Didattica/MongoDBDesign/"/>
    </mc:Choice>
  </mc:AlternateContent>
  <xr:revisionPtr revIDLastSave="51" documentId="8_{16F796CE-CA1A-43AF-965E-E1F7F4684D91}" xr6:coauthVersionLast="47" xr6:coauthVersionMax="47" xr10:uidLastSave="{3276D14C-9D68-486F-A19E-73F59EB33284}"/>
  <bookViews>
    <workbookView xWindow="38520" yWindow="1665" windowWidth="22890" windowHeight="18870" activeTab="1" xr2:uid="{00000000-000D-0000-FFFF-FFFF00000000}"/>
  </bookViews>
  <sheets>
    <sheet name="DataVolume" sheetId="6" r:id="rId1"/>
    <sheet name="one2many" sheetId="7" r:id="rId2"/>
    <sheet name="Solutions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9" l="1"/>
  <c r="F5" i="9"/>
  <c r="S2" i="9" a="1"/>
  <c r="D8" i="9" a="1"/>
  <c r="D11" i="9" a="1"/>
  <c r="D9" i="9" a="1"/>
  <c r="D6" i="9" a="1"/>
  <c r="N2" i="9" a="1"/>
  <c r="D7" i="9" a="1"/>
  <c r="D12" i="9" a="1"/>
  <c r="D10" i="9" a="1"/>
  <c r="S2" i="9" l="1"/>
  <c r="D10" i="9"/>
  <c r="D6" i="9"/>
  <c r="D8" i="9"/>
  <c r="D12" i="9"/>
  <c r="N2" i="9"/>
  <c r="D7" i="9"/>
  <c r="D9" i="9"/>
  <c r="D11" i="9"/>
  <c r="D5" i="9" l="1"/>
  <c r="B12" i="7" l="1"/>
  <c r="B11" i="7"/>
  <c r="F13" i="7"/>
  <c r="C13" i="7"/>
  <c r="F12" i="7"/>
  <c r="C12" i="7"/>
  <c r="F11" i="7"/>
  <c r="C11" i="7"/>
  <c r="F10" i="7"/>
  <c r="C10" i="7"/>
  <c r="C9" i="7"/>
  <c r="E7" i="7"/>
  <c r="B7" i="7"/>
  <c r="E5" i="7"/>
  <c r="E11" i="7" s="1"/>
  <c r="E4" i="7"/>
  <c r="B9" i="7" s="1"/>
  <c r="G11" i="7" a="1"/>
  <c r="D12" i="7" a="1"/>
  <c r="D10" i="7" a="1"/>
  <c r="D4" i="7" a="1"/>
  <c r="G9" i="7" a="1"/>
  <c r="D5" i="7" a="1"/>
  <c r="E10" i="7" l="1"/>
  <c r="D5" i="7"/>
  <c r="D4" i="7"/>
  <c r="D12" i="7"/>
  <c r="G9" i="7"/>
  <c r="G11" i="7"/>
  <c r="D10" i="7"/>
  <c r="D11" i="7" a="1"/>
  <c r="G10" i="7" a="1"/>
  <c r="D9" i="7" a="1"/>
  <c r="D11" i="7" l="1"/>
  <c r="H11" i="7" s="1"/>
  <c r="G10" i="7"/>
  <c r="H10" i="7" s="1"/>
  <c r="D9" i="7"/>
  <c r="H9" i="7" s="1"/>
  <c r="E13" i="7"/>
  <c r="E12" i="7"/>
  <c r="B13" i="7"/>
  <c r="D13" i="7" a="1"/>
  <c r="G13" i="7" a="1"/>
  <c r="G12" i="7" a="1"/>
  <c r="D13" i="7" l="1"/>
  <c r="G13" i="7"/>
  <c r="G12" i="7"/>
  <c r="H12" i="7" s="1"/>
  <c r="H1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<sst xmlns="http://schemas.openxmlformats.org/spreadsheetml/2006/main" count="56" uniqueCount="31">
  <si>
    <t>Costanti</t>
  </si>
  <si>
    <t>D</t>
  </si>
  <si>
    <t>u</t>
  </si>
  <si>
    <t>len(ID)</t>
  </si>
  <si>
    <t>len</t>
  </si>
  <si>
    <t>NT</t>
  </si>
  <si>
    <t>NP</t>
  </si>
  <si>
    <t>lenT</t>
  </si>
  <si>
    <t xml:space="preserve">Relazione </t>
  </si>
  <si>
    <t>Emb 1toN</t>
  </si>
  <si>
    <t>Emb Nto1</t>
  </si>
  <si>
    <t>Ref 1toN</t>
  </si>
  <si>
    <t>ratio</t>
  </si>
  <si>
    <t>Emb both</t>
  </si>
  <si>
    <t>Mixed: Emb 1toN+Ref(relN)</t>
  </si>
  <si>
    <t>Totale</t>
  </si>
  <si>
    <t>Name</t>
  </si>
  <si>
    <t>item</t>
  </si>
  <si>
    <t>product</t>
  </si>
  <si>
    <t>customer</t>
  </si>
  <si>
    <t>carrier</t>
  </si>
  <si>
    <t>payment</t>
  </si>
  <si>
    <t>category</t>
  </si>
  <si>
    <t>ND</t>
  </si>
  <si>
    <t>ER</t>
  </si>
  <si>
    <t>Cardenas</t>
  </si>
  <si>
    <t>Soluzione 0</t>
  </si>
  <si>
    <t>order</t>
  </si>
  <si>
    <t xml:space="preserve">Q1 </t>
  </si>
  <si>
    <t>ED</t>
  </si>
  <si>
    <t>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</si>
</sst>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9" fontId="0" fillId="0" borderId="0" xfId="1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E05D-040A-4CBD-A8BB-28E22686CAFD}">
  <sheetPr codeName="Foglio7"/>
  <dimension ref="A1:C8"/>
  <sheetViews>
    <sheetView workbookViewId="0">
      <selection activeCell="J17" sqref="J17"/>
    </sheetView>
  </sheetViews>
  <sheetFormatPr defaultRowHeight="14.5" x14ac:dyDescent="0.35"/>
  <sheetData>
    <row r="1" spans="1:3" x14ac:dyDescent="0.35">
      <c r="A1" s="1" t="s">
        <v>16</v>
      </c>
      <c r="B1" s="1" t="s">
        <v>23</v>
      </c>
      <c r="C1" s="1" t="s">
        <v>4</v>
      </c>
    </row>
    <row r="2" spans="1:3" x14ac:dyDescent="0.35">
      <c r="A2" t="s">
        <v>17</v>
      </c>
      <c r="B2">
        <v>2400000</v>
      </c>
      <c r="C2">
        <v>100</v>
      </c>
    </row>
    <row r="3" spans="1:3" x14ac:dyDescent="0.35">
      <c r="A3" t="s">
        <v>18</v>
      </c>
      <c r="B3">
        <v>800</v>
      </c>
      <c r="C3">
        <v>135</v>
      </c>
    </row>
    <row r="4" spans="1:3" x14ac:dyDescent="0.35">
      <c r="A4" t="s">
        <v>19</v>
      </c>
      <c r="B4">
        <v>32</v>
      </c>
      <c r="C4">
        <v>125</v>
      </c>
    </row>
    <row r="5" spans="1:3" x14ac:dyDescent="0.35">
      <c r="A5" t="s">
        <v>27</v>
      </c>
      <c r="B5">
        <v>1200000</v>
      </c>
      <c r="C5">
        <v>350</v>
      </c>
    </row>
    <row r="6" spans="1:3" x14ac:dyDescent="0.35">
      <c r="A6" t="s">
        <v>20</v>
      </c>
      <c r="B6">
        <v>16</v>
      </c>
      <c r="C6">
        <v>120</v>
      </c>
    </row>
    <row r="7" spans="1:3" x14ac:dyDescent="0.35">
      <c r="A7" t="s">
        <v>21</v>
      </c>
      <c r="B7">
        <v>1200000</v>
      </c>
      <c r="C7">
        <v>115</v>
      </c>
    </row>
    <row r="8" spans="1:3" x14ac:dyDescent="0.35">
      <c r="A8" t="s">
        <v>22</v>
      </c>
      <c r="B8">
        <v>50</v>
      </c>
      <c r="C8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0C945-553A-45AD-91C4-385B5E8E9307}">
  <sheetPr codeName="Foglio6"/>
  <dimension ref="A1:H13"/>
  <sheetViews>
    <sheetView tabSelected="1" workbookViewId="0">
      <selection activeCell="M21" sqref="M21:R33"/>
    </sheetView>
  </sheetViews>
  <sheetFormatPr defaultRowHeight="14.5" x14ac:dyDescent="0.35"/>
  <cols>
    <col min="1" max="1" width="20.1796875" customWidth="1"/>
    <col min="4" max="4" width="12" customWidth="1"/>
    <col min="5" max="5" width="17.1796875" customWidth="1"/>
    <col min="7" max="7" width="9.26953125" bestFit="1" customWidth="1"/>
  </cols>
  <sheetData>
    <row r="1" spans="1:8" x14ac:dyDescent="0.35">
      <c r="A1" s="1" t="s">
        <v>0</v>
      </c>
      <c r="B1" t="s">
        <v>1</v>
      </c>
      <c r="C1" t="s">
        <v>2</v>
      </c>
      <c r="D1" t="s">
        <v>3</v>
      </c>
    </row>
    <row r="2" spans="1:8" x14ac:dyDescent="0.35">
      <c r="B2" s="2">
        <v>4096</v>
      </c>
      <c r="C2" s="2">
        <v>0.69</v>
      </c>
      <c r="D2" s="2">
        <v>10</v>
      </c>
    </row>
    <row r="3" spans="1:8" x14ac:dyDescent="0.35">
      <c r="A3" s="1" t="s">
        <v>8</v>
      </c>
      <c r="B3" t="s">
        <v>23</v>
      </c>
      <c r="C3" t="s">
        <v>4</v>
      </c>
      <c r="D3" t="s">
        <v>6</v>
      </c>
      <c r="E3" t="s">
        <v>12</v>
      </c>
    </row>
    <row r="4" spans="1:8" x14ac:dyDescent="0.35">
      <c r="A4" t="s">
        <v>22</v>
      </c>
      <c r="B4">
        <v>50</v>
      </c>
      <c r="C4">
        <v>100</v>
      </c>
      <c r="D4" cm="1">
        <f t="array" ref="D4">getNP(B4,C4,$B$2,$C$2)</f>
        <v>2</v>
      </c>
      <c r="E4">
        <f>ROUNDUP(B5/B4,0)</f>
        <v>16</v>
      </c>
    </row>
    <row r="5" spans="1:8" x14ac:dyDescent="0.35">
      <c r="A5" t="s">
        <v>18</v>
      </c>
      <c r="B5">
        <v>800</v>
      </c>
      <c r="C5">
        <v>135</v>
      </c>
      <c r="D5" cm="1">
        <f t="array" ref="D5">getNP(B5,C5,$B$2,$C$2)</f>
        <v>39</v>
      </c>
      <c r="E5">
        <f>ROUNDUP(B4/B5,0)</f>
        <v>1</v>
      </c>
    </row>
    <row r="7" spans="1:8" x14ac:dyDescent="0.35">
      <c r="B7" s="7" t="str">
        <f>A4</f>
        <v>category</v>
      </c>
      <c r="C7" s="7"/>
      <c r="D7" s="7"/>
      <c r="E7" s="7" t="str">
        <f>A5</f>
        <v>product</v>
      </c>
      <c r="F7" s="7"/>
      <c r="G7" s="7"/>
      <c r="H7" t="s">
        <v>15</v>
      </c>
    </row>
    <row r="8" spans="1:8" x14ac:dyDescent="0.35">
      <c r="B8" t="s">
        <v>7</v>
      </c>
      <c r="C8" t="s">
        <v>5</v>
      </c>
      <c r="D8" t="s">
        <v>6</v>
      </c>
      <c r="E8" t="s">
        <v>7</v>
      </c>
      <c r="F8" t="s">
        <v>5</v>
      </c>
      <c r="G8" t="s">
        <v>6</v>
      </c>
      <c r="H8" t="s">
        <v>6</v>
      </c>
    </row>
    <row r="9" spans="1:8" x14ac:dyDescent="0.35">
      <c r="A9" t="s">
        <v>10</v>
      </c>
      <c r="B9">
        <f>C4+E4*C5</f>
        <v>2260</v>
      </c>
      <c r="C9">
        <f>$B$4</f>
        <v>50</v>
      </c>
      <c r="D9" cm="1">
        <f t="array" ref="D9">getNP(C9,B9,$B$2,$C$2)</f>
        <v>40</v>
      </c>
      <c r="G9" cm="1">
        <f t="array" ref="G9">getNP(F9,E9,$B$2,$C$2)</f>
        <v>0</v>
      </c>
      <c r="H9">
        <f>G9+D9</f>
        <v>40</v>
      </c>
    </row>
    <row r="10" spans="1:8" x14ac:dyDescent="0.35">
      <c r="A10" t="s">
        <v>9</v>
      </c>
      <c r="C10">
        <f t="shared" ref="C10:C13" si="0">$B$4</f>
        <v>50</v>
      </c>
      <c r="D10" cm="1">
        <f t="array" ref="D10">getNP(C10,B10,$B$2,$C$2)</f>
        <v>0</v>
      </c>
      <c r="E10">
        <f>C5+E5*C4</f>
        <v>235</v>
      </c>
      <c r="F10">
        <f t="shared" ref="F10:F13" si="1">$B$5</f>
        <v>800</v>
      </c>
      <c r="G10" cm="1">
        <f t="array" ref="G10">getNP(F10,E10,$B$2,$C$2)</f>
        <v>67</v>
      </c>
      <c r="H10">
        <f t="shared" ref="H10:H13" si="2">G10+D10</f>
        <v>67</v>
      </c>
    </row>
    <row r="11" spans="1:8" x14ac:dyDescent="0.35">
      <c r="A11" t="s">
        <v>11</v>
      </c>
      <c r="B11">
        <f>$C$4</f>
        <v>100</v>
      </c>
      <c r="C11">
        <f t="shared" si="0"/>
        <v>50</v>
      </c>
      <c r="D11" cm="1">
        <f t="array" ref="D11">getNP(C11,B11,$B$2,$C$2)</f>
        <v>2</v>
      </c>
      <c r="E11">
        <f>C5+E5*D2</f>
        <v>145</v>
      </c>
      <c r="F11">
        <f t="shared" si="1"/>
        <v>800</v>
      </c>
      <c r="G11" cm="1">
        <f t="array" ref="G11">getNP(F11,E11,$B$2,$C$2)</f>
        <v>42</v>
      </c>
      <c r="H11">
        <f t="shared" si="2"/>
        <v>44</v>
      </c>
    </row>
    <row r="12" spans="1:8" x14ac:dyDescent="0.35">
      <c r="A12" t="s">
        <v>14</v>
      </c>
      <c r="B12">
        <f>C4</f>
        <v>100</v>
      </c>
      <c r="C12">
        <f t="shared" si="0"/>
        <v>50</v>
      </c>
      <c r="D12" cm="1">
        <f t="array" ref="D12">getNP(C12,B12,$B$2,$C$2)</f>
        <v>2</v>
      </c>
      <c r="E12">
        <f>E10</f>
        <v>235</v>
      </c>
      <c r="F12">
        <f t="shared" si="1"/>
        <v>800</v>
      </c>
      <c r="G12" cm="1">
        <f t="array" ref="G12">getNP(F12,E12,$B$2,$C$2)</f>
        <v>67</v>
      </c>
      <c r="H12">
        <f t="shared" si="2"/>
        <v>69</v>
      </c>
    </row>
    <row r="13" spans="1:8" x14ac:dyDescent="0.35">
      <c r="A13" t="s">
        <v>13</v>
      </c>
      <c r="B13">
        <f>B9</f>
        <v>2260</v>
      </c>
      <c r="C13">
        <f t="shared" si="0"/>
        <v>50</v>
      </c>
      <c r="D13" cm="1">
        <f t="array" ref="D13">getNP(C13,B13,$B$2,$C$2)</f>
        <v>40</v>
      </c>
      <c r="E13">
        <f>E10</f>
        <v>235</v>
      </c>
      <c r="F13">
        <f t="shared" si="1"/>
        <v>800</v>
      </c>
      <c r="G13" cm="1">
        <f t="array" ref="G13">getNP(F13,E13,$B$2,$C$2)</f>
        <v>67</v>
      </c>
      <c r="H13">
        <f t="shared" si="2"/>
        <v>107</v>
      </c>
    </row>
  </sheetData>
  <mergeCells count="2">
    <mergeCell ref="B7:D7"/>
    <mergeCell ref="E7:G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882A-9D3A-4C98-8657-5676A46D1B38}">
  <sheetPr codeName="Foglio9"/>
  <dimension ref="A1:T72"/>
  <sheetViews>
    <sheetView workbookViewId="0">
      <selection activeCell="A58" sqref="A58"/>
    </sheetView>
  </sheetViews>
  <sheetFormatPr defaultRowHeight="14.5" x14ac:dyDescent="0.35"/>
  <cols>
    <col min="4" max="4" width="10.90625" customWidth="1"/>
    <col min="5" max="5" width="12.1796875" customWidth="1"/>
    <col min="13" max="13" width="9.54296875" customWidth="1"/>
    <col min="14" max="14" width="9.26953125" bestFit="1" customWidth="1"/>
    <col min="16" max="16" width="8.7265625" customWidth="1"/>
    <col min="17" max="17" width="9.90625" customWidth="1"/>
    <col min="18" max="18" width="9.6328125" customWidth="1"/>
  </cols>
  <sheetData>
    <row r="1" spans="1:19" x14ac:dyDescent="0.35">
      <c r="B1" s="1" t="s">
        <v>4</v>
      </c>
      <c r="C1" s="1" t="s">
        <v>23</v>
      </c>
      <c r="D1" s="1" t="s">
        <v>6</v>
      </c>
      <c r="H1" s="1" t="s">
        <v>1</v>
      </c>
      <c r="I1" s="1" t="s">
        <v>2</v>
      </c>
      <c r="L1" s="1" t="s">
        <v>24</v>
      </c>
      <c r="M1" s="1" t="s">
        <v>6</v>
      </c>
      <c r="N1" s="1" t="s">
        <v>25</v>
      </c>
      <c r="Q1" s="1" t="s">
        <v>23</v>
      </c>
      <c r="R1" s="1" t="s">
        <v>4</v>
      </c>
      <c r="S1" s="1" t="s">
        <v>6</v>
      </c>
    </row>
    <row r="2" spans="1:19" ht="21" x14ac:dyDescent="0.5">
      <c r="H2" s="2">
        <v>4096</v>
      </c>
      <c r="I2" s="2">
        <v>0.69</v>
      </c>
      <c r="L2" s="5">
        <v>11</v>
      </c>
      <c r="M2" s="6">
        <v>123</v>
      </c>
      <c r="N2" cm="1">
        <f t="array" ref="N2">Cardenas(L2,M2)</f>
        <v>11</v>
      </c>
      <c r="Q2">
        <v>120</v>
      </c>
      <c r="R2">
        <v>100</v>
      </c>
      <c r="S2" cm="1">
        <f t="array" ref="S2">getNP(Q2,R2,H2,I2)</f>
        <v>5</v>
      </c>
    </row>
    <row r="3" spans="1:19" x14ac:dyDescent="0.35">
      <c r="F3" t="s">
        <v>28</v>
      </c>
    </row>
    <row r="4" spans="1:19" x14ac:dyDescent="0.35">
      <c r="F4" t="s">
        <v>29</v>
      </c>
      <c r="G4" t="s">
        <v>30</v>
      </c>
    </row>
    <row r="5" spans="1:19" x14ac:dyDescent="0.35">
      <c r="A5" s="1" t="s">
        <v>26</v>
      </c>
      <c r="D5" s="1">
        <f>SUM(D6:D12)</f>
        <v>313450</v>
      </c>
      <c r="F5" s="1">
        <f t="shared" ref="F5:Q5" si="0">SUM(F6:F12)</f>
        <v>201</v>
      </c>
      <c r="G5" s="1">
        <f t="shared" si="0"/>
        <v>201</v>
      </c>
      <c r="H5" s="1"/>
      <c r="I5" s="1"/>
      <c r="J5" s="1"/>
      <c r="K5" s="1"/>
      <c r="L5" s="1"/>
      <c r="M5" s="1"/>
      <c r="N5" s="1"/>
      <c r="O5" s="1"/>
      <c r="P5" s="1"/>
      <c r="Q5" s="1"/>
    </row>
    <row r="6" spans="1:19" x14ac:dyDescent="0.35">
      <c r="A6" t="s">
        <v>22</v>
      </c>
      <c r="B6">
        <v>100</v>
      </c>
      <c r="C6">
        <v>50</v>
      </c>
      <c r="D6" cm="1">
        <f t="array" ref="D6">getNP(C6,B6,$H$2,$I$2)</f>
        <v>2</v>
      </c>
    </row>
    <row r="7" spans="1:19" x14ac:dyDescent="0.35">
      <c r="A7" t="s">
        <v>21</v>
      </c>
      <c r="B7">
        <v>115</v>
      </c>
      <c r="C7">
        <v>1200000</v>
      </c>
      <c r="D7" cm="1">
        <f t="array" ref="D7">getNP(C7,B7,$H$2,$I$2)</f>
        <v>48829</v>
      </c>
    </row>
    <row r="8" spans="1:19" x14ac:dyDescent="0.35">
      <c r="A8" t="s">
        <v>27</v>
      </c>
      <c r="B8">
        <v>380</v>
      </c>
      <c r="C8">
        <v>1200000</v>
      </c>
      <c r="D8" cm="1">
        <f t="array" ref="D8">getNP(C8,B8,$H$2,$I$2)</f>
        <v>161346</v>
      </c>
      <c r="F8">
        <v>40</v>
      </c>
      <c r="G8">
        <v>40</v>
      </c>
    </row>
    <row r="9" spans="1:19" x14ac:dyDescent="0.35">
      <c r="A9" t="s">
        <v>20</v>
      </c>
      <c r="B9">
        <v>120</v>
      </c>
      <c r="C9">
        <v>16</v>
      </c>
      <c r="D9" cm="1">
        <f t="array" ref="D9">getNP(C9,B9,$H$2,$I$2)</f>
        <v>1</v>
      </c>
    </row>
    <row r="10" spans="1:19" x14ac:dyDescent="0.35">
      <c r="A10" t="s">
        <v>17</v>
      </c>
      <c r="B10">
        <v>120</v>
      </c>
      <c r="C10">
        <v>2400000</v>
      </c>
      <c r="D10" cm="1">
        <f t="array" ref="D10">getNP(C10,B10,$H$2,$I$2)</f>
        <v>101903</v>
      </c>
      <c r="F10">
        <v>80</v>
      </c>
      <c r="G10">
        <v>80</v>
      </c>
    </row>
    <row r="11" spans="1:19" x14ac:dyDescent="0.35">
      <c r="A11" t="s">
        <v>18</v>
      </c>
      <c r="B11">
        <v>145</v>
      </c>
      <c r="C11">
        <v>800</v>
      </c>
      <c r="D11" cm="1">
        <f t="array" ref="D11">getNP(C11,B11,$H$2,$I$2)</f>
        <v>42</v>
      </c>
      <c r="F11">
        <v>80</v>
      </c>
      <c r="G11">
        <v>80</v>
      </c>
    </row>
    <row r="12" spans="1:19" x14ac:dyDescent="0.35">
      <c r="A12" t="s">
        <v>19</v>
      </c>
      <c r="B12">
        <v>125</v>
      </c>
      <c r="C12">
        <v>30000</v>
      </c>
      <c r="D12" cm="1">
        <f t="array" ref="D12">getNP(C12,B12,$H$2,$I$2)</f>
        <v>1327</v>
      </c>
      <c r="F12">
        <v>1</v>
      </c>
      <c r="G12">
        <v>1</v>
      </c>
    </row>
    <row r="14" spans="1:19" x14ac:dyDescent="0.35">
      <c r="A14" s="1"/>
      <c r="D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21" spans="1:20" x14ac:dyDescent="0.35">
      <c r="T21" s="4"/>
    </row>
    <row r="22" spans="1:20" x14ac:dyDescent="0.35">
      <c r="A22" s="3"/>
    </row>
    <row r="23" spans="1:20" x14ac:dyDescent="0.35">
      <c r="A23" s="1"/>
      <c r="D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T23" s="4"/>
    </row>
    <row r="32" spans="1:20" x14ac:dyDescent="0.35">
      <c r="A32" s="1"/>
      <c r="D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41" spans="1:17" x14ac:dyDescent="0.35">
      <c r="A41" s="1"/>
      <c r="D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50" spans="1:17" x14ac:dyDescent="0.35">
      <c r="A50" s="1"/>
      <c r="D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9" spans="1:17" x14ac:dyDescent="0.35">
      <c r="A59" s="1"/>
      <c r="D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6" spans="1:4" x14ac:dyDescent="0.35">
      <c r="A66" s="1"/>
      <c r="D66" s="1"/>
    </row>
    <row r="72" spans="1:4" x14ac:dyDescent="0.35">
      <c r="A72" s="1"/>
      <c r="D72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DataVolume</vt:lpstr>
      <vt:lpstr>one2many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</dc:creator>
  <cp:lastModifiedBy>Alessandra Lumini</cp:lastModifiedBy>
  <dcterms:created xsi:type="dcterms:W3CDTF">2015-06-05T18:17:20Z</dcterms:created>
  <dcterms:modified xsi:type="dcterms:W3CDTF">2024-05-09T22:16:18Z</dcterms:modified>
</cp:coreProperties>
</file>